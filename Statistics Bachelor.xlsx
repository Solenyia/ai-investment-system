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esktop\Skola\"/>
    </mc:Choice>
  </mc:AlternateContent>
  <xr:revisionPtr revIDLastSave="0" documentId="13_ncr:1_{BC28B394-752A-4DE9-A1A9-98F2B70C95A9}" xr6:coauthVersionLast="47" xr6:coauthVersionMax="47" xr10:uidLastSave="{00000000-0000-0000-0000-000000000000}"/>
  <bookViews>
    <workbookView xWindow="-108" yWindow="-108" windowWidth="23256" windowHeight="12456" xr2:uid="{9B4CAFB6-9917-4E9F-8408-1AD85B6AD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1" l="1"/>
  <c r="U33" i="1"/>
  <c r="U34" i="1"/>
  <c r="U35" i="1"/>
  <c r="U31" i="1"/>
  <c r="U9" i="1"/>
  <c r="U10" i="1"/>
  <c r="U8" i="1"/>
  <c r="U7" i="1"/>
  <c r="U6" i="1"/>
  <c r="U18" i="1"/>
  <c r="U17" i="1"/>
  <c r="U16" i="1"/>
  <c r="U26" i="1"/>
  <c r="U25" i="1"/>
  <c r="U24" i="1"/>
  <c r="U42" i="1"/>
  <c r="U41" i="1"/>
  <c r="U40" i="1"/>
  <c r="R40" i="1"/>
  <c r="R42" i="1"/>
  <c r="P42" i="1"/>
  <c r="N42" i="1"/>
  <c r="R41" i="1"/>
  <c r="P41" i="1"/>
  <c r="N41" i="1"/>
  <c r="P40" i="1"/>
  <c r="N40" i="1"/>
  <c r="N35" i="1"/>
  <c r="L35" i="1"/>
  <c r="N34" i="1"/>
  <c r="L34" i="1"/>
  <c r="N33" i="1"/>
  <c r="N32" i="1"/>
  <c r="N31" i="1"/>
  <c r="L33" i="1"/>
  <c r="L32" i="1"/>
  <c r="L31" i="1"/>
  <c r="R26" i="1"/>
  <c r="R25" i="1"/>
  <c r="R24" i="1"/>
  <c r="P26" i="1"/>
  <c r="P25" i="1"/>
  <c r="P24" i="1"/>
  <c r="N26" i="1"/>
  <c r="N25" i="1"/>
  <c r="N24" i="1"/>
  <c r="R18" i="1"/>
  <c r="R17" i="1"/>
  <c r="R16" i="1"/>
  <c r="P18" i="1"/>
  <c r="P17" i="1"/>
  <c r="P16" i="1"/>
  <c r="N18" i="1"/>
  <c r="N17" i="1"/>
  <c r="N16" i="1"/>
  <c r="H25" i="1"/>
  <c r="H26" i="1"/>
  <c r="L17" i="1"/>
  <c r="L18" i="1"/>
  <c r="H17" i="1"/>
  <c r="H18" i="1"/>
  <c r="J17" i="1"/>
  <c r="J18" i="1"/>
  <c r="J25" i="1"/>
  <c r="J26" i="1"/>
  <c r="L25" i="1"/>
  <c r="L26" i="1"/>
  <c r="L41" i="1"/>
  <c r="L42" i="1"/>
  <c r="J41" i="1"/>
  <c r="J42" i="1"/>
  <c r="H41" i="1"/>
  <c r="H42" i="1"/>
  <c r="H32" i="1"/>
  <c r="H33" i="1"/>
  <c r="H34" i="1"/>
  <c r="H35" i="1"/>
  <c r="H40" i="1"/>
  <c r="J40" i="1"/>
  <c r="L40" i="1"/>
  <c r="L24" i="1"/>
  <c r="L16" i="1"/>
  <c r="J16" i="1"/>
  <c r="J24" i="1"/>
  <c r="H31" i="1"/>
  <c r="H24" i="1"/>
  <c r="H16" i="1"/>
  <c r="R7" i="1"/>
  <c r="R8" i="1"/>
  <c r="R9" i="1"/>
  <c r="R10" i="1"/>
  <c r="L7" i="1"/>
  <c r="L8" i="1"/>
  <c r="L9" i="1"/>
  <c r="L10" i="1"/>
  <c r="N7" i="1"/>
  <c r="N8" i="1"/>
  <c r="N9" i="1"/>
  <c r="N10" i="1"/>
  <c r="P7" i="1"/>
  <c r="P8" i="1"/>
  <c r="P9" i="1"/>
  <c r="P10" i="1"/>
  <c r="R6" i="1"/>
  <c r="P6" i="1"/>
  <c r="N6" i="1"/>
  <c r="L6" i="1"/>
  <c r="J7" i="1"/>
  <c r="J8" i="1"/>
  <c r="J9" i="1"/>
  <c r="J10" i="1"/>
  <c r="J6" i="1"/>
  <c r="H7" i="1"/>
  <c r="H8" i="1"/>
  <c r="H9" i="1"/>
  <c r="H10" i="1"/>
  <c r="H6" i="1"/>
  <c r="J35" i="1"/>
  <c r="J34" i="1"/>
  <c r="J33" i="1"/>
  <c r="J32" i="1"/>
  <c r="J31" i="1"/>
</calcChain>
</file>

<file path=xl/sharedStrings.xml><?xml version="1.0" encoding="utf-8"?>
<sst xmlns="http://schemas.openxmlformats.org/spreadsheetml/2006/main" count="93" uniqueCount="24">
  <si>
    <t>Akcia</t>
  </si>
  <si>
    <t>AAPL</t>
  </si>
  <si>
    <t>MSFT</t>
  </si>
  <si>
    <t>GOOG</t>
  </si>
  <si>
    <t>META</t>
  </si>
  <si>
    <t>TSLA</t>
  </si>
  <si>
    <t>cena v case</t>
  </si>
  <si>
    <t>architektura I</t>
  </si>
  <si>
    <t>architektura II</t>
  </si>
  <si>
    <t>NVDA</t>
  </si>
  <si>
    <t>architektura III</t>
  </si>
  <si>
    <t>achitekura IV</t>
  </si>
  <si>
    <t>testy 25.2.2026</t>
  </si>
  <si>
    <t>fresh testy 14.03</t>
  </si>
  <si>
    <t>konsesus k prvemu dnu</t>
  </si>
  <si>
    <t>BUY</t>
  </si>
  <si>
    <t>HOLD</t>
  </si>
  <si>
    <t>konsensus k prvemu dnu</t>
  </si>
  <si>
    <t>navrh bota</t>
  </si>
  <si>
    <t>pociatocna cena</t>
  </si>
  <si>
    <t>celkova zmena k 29/3</t>
  </si>
  <si>
    <t>SELL</t>
  </si>
  <si>
    <t>lepší poradca</t>
  </si>
  <si>
    <t>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</si>
</sst>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Border="1" applyAlignment="1">
      <alignment horizontal="center"/>
    </xf>
    <xf numFmtId="16" fontId="0" fillId="0" borderId="0" xfId="0" applyNumberFormat="1" applyAlignment="1">
      <alignment horizontal="center"/>
    </xf>
    <xf numFmtId="2" fontId="0" fillId="2" borderId="0" xfId="0" applyNumberFormat="1" applyFill="1"/>
    <xf numFmtId="2" fontId="0" fillId="0" borderId="0" xfId="0" applyNumberFormat="1"/>
    <xf numFmtId="0" fontId="0" fillId="0" borderId="0" xfId="0" applyFill="1" applyBorder="1"/>
    <xf numFmtId="2" fontId="0" fillId="0" borderId="0" xfId="0" applyNumberFormat="1" applyFill="1"/>
    <xf numFmtId="10" fontId="0" fillId="0" borderId="0" xfId="0" applyNumberFormat="1"/>
    <xf numFmtId="2" fontId="0" fillId="3" borderId="0" xfId="0" applyNumberFormat="1" applyFill="1" applyBorder="1"/>
    <xf numFmtId="10" fontId="0" fillId="3" borderId="0" xfId="0" applyNumberFormat="1" applyFill="1"/>
    <xf numFmtId="10" fontId="0" fillId="4" borderId="0" xfId="0" applyNumberFormat="1" applyFill="1"/>
    <xf numFmtId="10" fontId="0" fillId="2" borderId="0" xfId="0" applyNumberFormat="1" applyFill="1"/>
    <xf numFmtId="1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6B58-B557-42D3-BF2A-E108485E4950}">
  <dimension ref="B2:V42"/>
  <sheetViews>
    <sheetView tabSelected="1" topLeftCell="C1" zoomScale="55" zoomScaleNormal="55" workbookViewId="0">
      <selection activeCell="C26" sqref="C26"/>
    </sheetView>
  </sheetViews>
  <sheetFormatPr defaultColWidth="18" defaultRowHeight="14.4" x14ac:dyDescent="0.3"/>
  <cols>
    <col min="5" max="5" width="21.5546875" customWidth="1"/>
    <col min="6" max="6" width="21.109375" customWidth="1"/>
    <col min="8" max="8" width="20" customWidth="1"/>
  </cols>
  <sheetData>
    <row r="2" spans="2:22" x14ac:dyDescent="0.3">
      <c r="G2" s="9" t="s">
        <v>12</v>
      </c>
      <c r="H2" s="9"/>
    </row>
    <row r="3" spans="2:22" x14ac:dyDescent="0.3">
      <c r="C3" s="9" t="s">
        <v>7</v>
      </c>
      <c r="D3" s="9"/>
      <c r="E3" s="9"/>
      <c r="F3" s="9"/>
      <c r="G3" s="9"/>
      <c r="H3" s="6" t="s">
        <v>14</v>
      </c>
    </row>
    <row r="4" spans="2:22" x14ac:dyDescent="0.3">
      <c r="B4" s="6"/>
      <c r="C4" s="6" t="s">
        <v>6</v>
      </c>
      <c r="D4" s="10">
        <v>46078</v>
      </c>
      <c r="E4" s="10"/>
      <c r="G4" s="10">
        <v>46081</v>
      </c>
      <c r="H4" s="10"/>
      <c r="I4" s="10">
        <v>46084</v>
      </c>
      <c r="J4" s="10"/>
      <c r="K4" s="10">
        <v>46087</v>
      </c>
      <c r="L4" s="10"/>
      <c r="M4" s="10">
        <v>46094</v>
      </c>
      <c r="N4" s="3"/>
      <c r="O4" s="10">
        <v>46101</v>
      </c>
      <c r="P4" s="3"/>
      <c r="Q4" s="10">
        <v>46108</v>
      </c>
      <c r="R4" s="3"/>
      <c r="U4" t="s">
        <v>20</v>
      </c>
    </row>
    <row r="5" spans="2:22" x14ac:dyDescent="0.3">
      <c r="B5" s="6"/>
      <c r="C5" s="6" t="s">
        <v>0</v>
      </c>
      <c r="D5" t="s">
        <v>18</v>
      </c>
      <c r="E5" t="s">
        <v>19</v>
      </c>
      <c r="F5" t="s">
        <v>17</v>
      </c>
      <c r="V5" t="s">
        <v>22</v>
      </c>
    </row>
    <row r="6" spans="2:22" x14ac:dyDescent="0.3">
      <c r="B6" s="6"/>
      <c r="C6" s="6" t="s">
        <v>1</v>
      </c>
      <c r="D6" t="s">
        <v>16</v>
      </c>
      <c r="E6" s="12">
        <v>274.23</v>
      </c>
      <c r="F6" s="1" t="s">
        <v>15</v>
      </c>
      <c r="G6" s="11">
        <v>264.18</v>
      </c>
      <c r="H6" s="15">
        <f>(G6-E6)/E6</f>
        <v>-3.6648069139043907E-2</v>
      </c>
      <c r="I6" s="1">
        <v>263.75</v>
      </c>
      <c r="J6" s="15">
        <f>(I6-G6)/G6</f>
        <v>-1.6276780982663593E-3</v>
      </c>
      <c r="K6" s="1">
        <v>257.45999999999998</v>
      </c>
      <c r="L6" s="15">
        <f>(K6-I6)/I6</f>
        <v>-2.3848341232227566E-2</v>
      </c>
      <c r="M6" s="2">
        <v>262.45</v>
      </c>
      <c r="N6" s="15">
        <f>(M6-K6)/K6</f>
        <v>1.9381651518682552E-2</v>
      </c>
      <c r="O6" s="1">
        <v>255.1</v>
      </c>
      <c r="P6" s="15">
        <f>(O6-M6)/M6</f>
        <v>-2.8005334349399866E-2</v>
      </c>
      <c r="Q6" s="1">
        <v>248.8</v>
      </c>
      <c r="R6" s="15">
        <f>(Q6-O6)/O6</f>
        <v>-2.469619756958049E-2</v>
      </c>
      <c r="U6" s="17">
        <f>(Q6-E6)/E6</f>
        <v>-9.2732377930933904E-2</v>
      </c>
      <c r="V6" t="s">
        <v>23</v>
      </c>
    </row>
    <row r="7" spans="2:22" x14ac:dyDescent="0.3">
      <c r="B7" s="6"/>
      <c r="C7" s="6" t="s">
        <v>2</v>
      </c>
      <c r="D7" s="6" t="s">
        <v>16</v>
      </c>
      <c r="E7">
        <v>410.68</v>
      </c>
      <c r="F7" s="7" t="s">
        <v>15</v>
      </c>
      <c r="G7" s="7">
        <v>395.55</v>
      </c>
      <c r="H7" s="15">
        <f t="shared" ref="H7:H10" si="0">(G7-E7)/E7</f>
        <v>-3.6841336320249329E-2</v>
      </c>
      <c r="I7" s="7">
        <v>392.12</v>
      </c>
      <c r="J7" s="15">
        <f t="shared" ref="J7:J10" si="1">(I7-G7)/G7</f>
        <v>-8.6714701049172213E-3</v>
      </c>
      <c r="K7" s="8">
        <v>408.96</v>
      </c>
      <c r="L7" s="15">
        <f t="shared" ref="L7:L10" si="2">(K7-I7)/I7</f>
        <v>4.2946036927471121E-2</v>
      </c>
      <c r="M7" s="1">
        <v>381.12</v>
      </c>
      <c r="N7" s="15">
        <f t="shared" ref="N7:N10" si="3">(M7-K7)/K7</f>
        <v>-6.807511737089196E-2</v>
      </c>
      <c r="O7" s="1">
        <v>365.4</v>
      </c>
      <c r="P7" s="15">
        <f t="shared" ref="P7:P10" si="4">(O7-M7)/M7</f>
        <v>-4.1246851385390498E-2</v>
      </c>
      <c r="Q7" s="1">
        <v>356.77</v>
      </c>
      <c r="R7" s="15">
        <f t="shared" ref="R7:R10" si="5">(Q7-O7)/O7</f>
        <v>-2.3617952928297745E-2</v>
      </c>
      <c r="U7" s="17">
        <f>(Q7-E7)/E7</f>
        <v>-0.13127008863348599</v>
      </c>
      <c r="V7" t="s">
        <v>23</v>
      </c>
    </row>
    <row r="8" spans="2:22" x14ac:dyDescent="0.3">
      <c r="C8" s="6" t="s">
        <v>3</v>
      </c>
      <c r="D8" s="6" t="s">
        <v>15</v>
      </c>
      <c r="E8">
        <v>301.45999999999998</v>
      </c>
      <c r="F8" s="8" t="s">
        <v>16</v>
      </c>
      <c r="G8" s="7">
        <v>293.10000000000002</v>
      </c>
      <c r="H8" s="15">
        <f t="shared" si="0"/>
        <v>-2.7731705698931724E-2</v>
      </c>
      <c r="I8" s="7">
        <v>291.55</v>
      </c>
      <c r="J8" s="15">
        <f t="shared" si="1"/>
        <v>-5.2882975093825014E-3</v>
      </c>
      <c r="K8" s="8">
        <v>306.93</v>
      </c>
      <c r="L8" s="15">
        <f t="shared" si="2"/>
        <v>5.2752529583261862E-2</v>
      </c>
      <c r="M8" s="1">
        <v>290.14999999999998</v>
      </c>
      <c r="N8" s="15">
        <f t="shared" si="3"/>
        <v>-5.4670446030039517E-2</v>
      </c>
      <c r="O8" s="1">
        <v>281.44</v>
      </c>
      <c r="P8" s="15">
        <f t="shared" si="4"/>
        <v>-3.0018955712562398E-2</v>
      </c>
      <c r="Q8" s="1">
        <v>274.47000000000003</v>
      </c>
      <c r="R8" s="15">
        <f t="shared" si="5"/>
        <v>-2.4765491756679827E-2</v>
      </c>
      <c r="U8" s="20">
        <f>(Q8-E8)/E8</f>
        <v>-8.9530949379685379E-2</v>
      </c>
    </row>
    <row r="9" spans="2:22" x14ac:dyDescent="0.3">
      <c r="C9" s="6" t="s">
        <v>4</v>
      </c>
      <c r="D9" s="6" t="s">
        <v>16</v>
      </c>
      <c r="E9">
        <v>613.71</v>
      </c>
      <c r="F9" s="7" t="s">
        <v>15</v>
      </c>
      <c r="G9" s="8">
        <v>613.71</v>
      </c>
      <c r="H9" s="15">
        <f t="shared" si="0"/>
        <v>0</v>
      </c>
      <c r="I9" s="7">
        <v>608.20000000000005</v>
      </c>
      <c r="J9" s="15">
        <f t="shared" si="1"/>
        <v>-8.9781818774339519E-3</v>
      </c>
      <c r="K9" s="8">
        <v>613.71</v>
      </c>
      <c r="L9" s="15">
        <f t="shared" si="2"/>
        <v>9.0595198947714412E-3</v>
      </c>
      <c r="M9" s="1">
        <v>568.29999999999995</v>
      </c>
      <c r="N9" s="15">
        <f t="shared" si="3"/>
        <v>-7.3992602369197302E-2</v>
      </c>
      <c r="O9" s="1">
        <v>545.9</v>
      </c>
      <c r="P9" s="15">
        <f t="shared" si="4"/>
        <v>-3.9415801513285199E-2</v>
      </c>
      <c r="Q9" s="1">
        <v>525.72</v>
      </c>
      <c r="R9" s="15">
        <f t="shared" si="5"/>
        <v>-3.6966477376808853E-2</v>
      </c>
      <c r="U9" s="17">
        <f>(Q9-E9)/E9</f>
        <v>-0.14337390624236204</v>
      </c>
    </row>
    <row r="10" spans="2:22" x14ac:dyDescent="0.3">
      <c r="C10" s="6" t="s">
        <v>5</v>
      </c>
      <c r="D10" s="6" t="s">
        <v>16</v>
      </c>
      <c r="E10">
        <v>417.4</v>
      </c>
      <c r="F10" s="8" t="s">
        <v>16</v>
      </c>
      <c r="G10" s="7">
        <v>402.51</v>
      </c>
      <c r="H10" s="15">
        <f t="shared" si="0"/>
        <v>-3.5673215141351189E-2</v>
      </c>
      <c r="I10" s="7">
        <v>392.43</v>
      </c>
      <c r="J10" s="15">
        <f t="shared" si="1"/>
        <v>-2.5042856078109823E-2</v>
      </c>
      <c r="K10" s="8">
        <v>396.73</v>
      </c>
      <c r="L10" s="15">
        <f t="shared" si="2"/>
        <v>1.0957368193053567E-2</v>
      </c>
      <c r="M10" s="1">
        <v>391.2</v>
      </c>
      <c r="N10" s="15">
        <f t="shared" si="3"/>
        <v>-1.3938950923802157E-2</v>
      </c>
      <c r="O10" s="1">
        <v>367.96</v>
      </c>
      <c r="P10" s="15">
        <f t="shared" si="4"/>
        <v>-5.9406952965235196E-2</v>
      </c>
      <c r="Q10" s="1">
        <v>361.83</v>
      </c>
      <c r="R10" s="15">
        <f t="shared" si="5"/>
        <v>-1.6659419502119785E-2</v>
      </c>
      <c r="U10" s="17">
        <f>(Q10-E10)/E10</f>
        <v>-0.13313368471490175</v>
      </c>
    </row>
    <row r="11" spans="2:22" x14ac:dyDescent="0.3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U11" s="6"/>
    </row>
    <row r="12" spans="2:22" x14ac:dyDescent="0.3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U12" s="6"/>
    </row>
    <row r="13" spans="2:22" x14ac:dyDescent="0.3">
      <c r="C13" s="9" t="s">
        <v>8</v>
      </c>
      <c r="D13" s="9"/>
      <c r="E13" s="9"/>
      <c r="F13" s="9"/>
      <c r="G13" s="9"/>
      <c r="H13" s="6"/>
      <c r="I13" s="6"/>
      <c r="J13" s="6"/>
      <c r="K13" s="6"/>
      <c r="L13" s="6"/>
      <c r="M13" s="6"/>
      <c r="U13" s="6"/>
    </row>
    <row r="14" spans="2:22" x14ac:dyDescent="0.3">
      <c r="C14" s="6" t="s">
        <v>6</v>
      </c>
      <c r="D14" s="10">
        <v>46078</v>
      </c>
      <c r="E14" s="10"/>
      <c r="G14" s="10">
        <v>46081</v>
      </c>
      <c r="H14" s="10"/>
      <c r="I14" s="10">
        <v>46084</v>
      </c>
      <c r="J14" s="10"/>
      <c r="K14" s="10">
        <v>46087</v>
      </c>
      <c r="L14" s="10"/>
      <c r="U14" t="s">
        <v>20</v>
      </c>
    </row>
    <row r="15" spans="2:22" x14ac:dyDescent="0.3">
      <c r="C15" s="6" t="s">
        <v>0</v>
      </c>
      <c r="D15" t="s">
        <v>18</v>
      </c>
      <c r="E15" t="s">
        <v>19</v>
      </c>
      <c r="F15" t="s">
        <v>17</v>
      </c>
      <c r="U15" s="6"/>
    </row>
    <row r="16" spans="2:22" x14ac:dyDescent="0.3">
      <c r="C16" s="6" t="s">
        <v>1</v>
      </c>
      <c r="D16" t="s">
        <v>16</v>
      </c>
      <c r="E16" s="12">
        <v>274.23</v>
      </c>
      <c r="F16" s="1" t="s">
        <v>15</v>
      </c>
      <c r="G16" s="11">
        <v>264.18</v>
      </c>
      <c r="H16" s="15">
        <f>(G16-E16)/E16</f>
        <v>-3.6648069139043907E-2</v>
      </c>
      <c r="I16" s="1">
        <v>263.75</v>
      </c>
      <c r="J16" s="15">
        <f>(I16-G16)/G16</f>
        <v>-1.6276780982663593E-3</v>
      </c>
      <c r="K16" s="1">
        <v>257.45999999999998</v>
      </c>
      <c r="L16" s="15">
        <f>(K16-I16)/I16</f>
        <v>-2.3848341232227566E-2</v>
      </c>
      <c r="M16" s="2">
        <v>262.45</v>
      </c>
      <c r="N16" s="15">
        <f>(M16-K16)/K16</f>
        <v>1.9381651518682552E-2</v>
      </c>
      <c r="O16" s="1">
        <v>255.1</v>
      </c>
      <c r="P16" s="15">
        <f>(O16-M16)/M16</f>
        <v>-2.8005334349399866E-2</v>
      </c>
      <c r="Q16" s="1">
        <v>248.8</v>
      </c>
      <c r="R16" s="15">
        <f>(Q16-O16)/O16</f>
        <v>-2.469619756958049E-2</v>
      </c>
      <c r="U16" s="17">
        <f>(Q16-E16)/E16</f>
        <v>-9.2732377930933904E-2</v>
      </c>
    </row>
    <row r="17" spans="3:21" x14ac:dyDescent="0.3">
      <c r="C17" s="6" t="s">
        <v>5</v>
      </c>
      <c r="D17" s="6" t="s">
        <v>16</v>
      </c>
      <c r="E17">
        <v>417.4</v>
      </c>
      <c r="F17" s="8" t="s">
        <v>16</v>
      </c>
      <c r="G17" s="7">
        <v>402.51</v>
      </c>
      <c r="H17" s="15">
        <f t="shared" ref="H17:H18" si="6">(G17-E17)/E17</f>
        <v>-3.5673215141351189E-2</v>
      </c>
      <c r="I17" s="7">
        <v>392.43</v>
      </c>
      <c r="J17" s="15">
        <f t="shared" ref="J17:J18" si="7">(I17-G17)/G17</f>
        <v>-2.5042856078109823E-2</v>
      </c>
      <c r="K17" s="8">
        <v>396.73</v>
      </c>
      <c r="L17" s="15">
        <f t="shared" ref="L17:R18" si="8">(K17-I17)/I17</f>
        <v>1.0957368193053567E-2</v>
      </c>
      <c r="M17" s="1">
        <v>391.2</v>
      </c>
      <c r="N17" s="15">
        <f t="shared" si="8"/>
        <v>-1.3938950923802157E-2</v>
      </c>
      <c r="O17" s="1">
        <v>367.96</v>
      </c>
      <c r="P17" s="15">
        <f t="shared" si="8"/>
        <v>-5.9406952965235196E-2</v>
      </c>
      <c r="Q17" s="1">
        <v>361.83</v>
      </c>
      <c r="R17" s="15">
        <f t="shared" si="8"/>
        <v>-1.6659419502119785E-2</v>
      </c>
      <c r="U17" s="17">
        <f>(Q17-E17)/E17</f>
        <v>-0.13313368471490175</v>
      </c>
    </row>
    <row r="18" spans="3:21" x14ac:dyDescent="0.3">
      <c r="C18" s="6" t="s">
        <v>9</v>
      </c>
      <c r="D18" s="6" t="s">
        <v>15</v>
      </c>
      <c r="E18">
        <v>195.56</v>
      </c>
      <c r="F18" s="7" t="s">
        <v>15</v>
      </c>
      <c r="G18" s="7">
        <v>177.19</v>
      </c>
      <c r="H18" s="15">
        <f t="shared" si="6"/>
        <v>-9.3935365105338536E-2</v>
      </c>
      <c r="I18" s="7">
        <v>180.05</v>
      </c>
      <c r="J18" s="15">
        <f t="shared" si="7"/>
        <v>1.6140865737344173E-2</v>
      </c>
      <c r="K18" s="8">
        <v>177.82</v>
      </c>
      <c r="L18" s="15">
        <f t="shared" si="8"/>
        <v>-1.2385448486531619E-2</v>
      </c>
      <c r="M18" s="16">
        <v>180.25</v>
      </c>
      <c r="N18" s="15">
        <f t="shared" si="8"/>
        <v>1.3665504442694898E-2</v>
      </c>
      <c r="O18" s="1">
        <v>172.2</v>
      </c>
      <c r="P18" s="15">
        <f t="shared" si="8"/>
        <v>-4.4660194174757348E-2</v>
      </c>
      <c r="Q18" s="1">
        <v>164.14</v>
      </c>
      <c r="R18" s="15">
        <f t="shared" si="8"/>
        <v>-4.6806039488966333E-2</v>
      </c>
      <c r="U18" s="15">
        <f>(Q18-E18)/E18</f>
        <v>-0.16066680302720401</v>
      </c>
    </row>
    <row r="19" spans="3:21" x14ac:dyDescent="0.3">
      <c r="C19" s="6"/>
      <c r="D19" s="6"/>
      <c r="F19" s="6"/>
      <c r="G19" s="13"/>
      <c r="H19" s="14"/>
      <c r="I19" s="13"/>
      <c r="J19" s="14"/>
      <c r="K19" s="13"/>
      <c r="L19" s="12"/>
      <c r="M19" s="6"/>
      <c r="U19" s="6"/>
    </row>
    <row r="20" spans="3:21" x14ac:dyDescent="0.3">
      <c r="C20" s="6"/>
      <c r="D20" s="6"/>
      <c r="F20" s="6"/>
      <c r="G20" s="13"/>
      <c r="H20" s="14"/>
      <c r="I20" s="13"/>
      <c r="J20" s="14"/>
      <c r="K20" s="13"/>
      <c r="L20" s="12"/>
      <c r="M20" s="6"/>
      <c r="U20" s="6"/>
    </row>
    <row r="21" spans="3:21" x14ac:dyDescent="0.3">
      <c r="C21" s="9" t="s">
        <v>10</v>
      </c>
      <c r="D21" s="9"/>
      <c r="E21" s="9"/>
      <c r="F21" s="9"/>
      <c r="G21" s="9"/>
      <c r="H21" s="6"/>
      <c r="I21" s="6"/>
      <c r="J21" s="6"/>
      <c r="K21" s="6"/>
      <c r="L21" s="6"/>
      <c r="M21" s="6"/>
      <c r="U21" s="6"/>
    </row>
    <row r="22" spans="3:21" x14ac:dyDescent="0.3">
      <c r="C22" s="6" t="s">
        <v>6</v>
      </c>
      <c r="D22" s="10">
        <v>46078</v>
      </c>
      <c r="E22" s="10"/>
      <c r="G22" s="10">
        <v>46081</v>
      </c>
      <c r="H22" s="10"/>
      <c r="I22" s="10">
        <v>46084</v>
      </c>
      <c r="J22" s="10"/>
      <c r="K22" s="10">
        <v>46087</v>
      </c>
      <c r="L22" s="10"/>
      <c r="M22" s="10">
        <v>46094</v>
      </c>
      <c r="N22" s="3"/>
      <c r="O22" s="10">
        <v>46101</v>
      </c>
      <c r="P22" s="3"/>
      <c r="Q22" s="10">
        <v>46108</v>
      </c>
      <c r="R22" s="3"/>
      <c r="U22" t="s">
        <v>20</v>
      </c>
    </row>
    <row r="23" spans="3:21" x14ac:dyDescent="0.3">
      <c r="C23" s="6" t="s">
        <v>0</v>
      </c>
      <c r="D23" t="s">
        <v>18</v>
      </c>
      <c r="E23" t="s">
        <v>19</v>
      </c>
      <c r="F23" t="s">
        <v>17</v>
      </c>
      <c r="M23" s="6"/>
      <c r="U23" s="6"/>
    </row>
    <row r="24" spans="3:21" x14ac:dyDescent="0.3">
      <c r="C24" s="6" t="s">
        <v>1</v>
      </c>
      <c r="D24" t="s">
        <v>16</v>
      </c>
      <c r="E24" s="12">
        <v>274.23</v>
      </c>
      <c r="F24" s="1" t="s">
        <v>15</v>
      </c>
      <c r="G24" s="11">
        <v>264.18</v>
      </c>
      <c r="H24" s="15">
        <f>(G24-E24)/E24</f>
        <v>-3.6648069139043907E-2</v>
      </c>
      <c r="I24" s="1">
        <v>263.75</v>
      </c>
      <c r="J24" s="15">
        <f>(I24-G24)/G24</f>
        <v>-1.6276780982663593E-3</v>
      </c>
      <c r="K24" s="1">
        <v>257.45999999999998</v>
      </c>
      <c r="L24" s="15">
        <f>(K24-I24)/I24</f>
        <v>-2.3848341232227566E-2</v>
      </c>
      <c r="M24" s="2">
        <v>262.45</v>
      </c>
      <c r="N24" s="15">
        <f>(M24-K24)/K24</f>
        <v>1.9381651518682552E-2</v>
      </c>
      <c r="O24" s="1">
        <v>255.1</v>
      </c>
      <c r="P24" s="15">
        <f>(O24-M24)/M24</f>
        <v>-2.8005334349399866E-2</v>
      </c>
      <c r="Q24" s="1">
        <v>248.8</v>
      </c>
      <c r="R24" s="15">
        <f>(Q24-O24)/O24</f>
        <v>-2.469619756958049E-2</v>
      </c>
      <c r="U24" s="19">
        <f>(Q24-E24)/E24</f>
        <v>-9.2732377930933904E-2</v>
      </c>
    </row>
    <row r="25" spans="3:21" x14ac:dyDescent="0.3">
      <c r="C25" s="6" t="s">
        <v>5</v>
      </c>
      <c r="D25" s="6" t="s">
        <v>21</v>
      </c>
      <c r="E25">
        <v>417.4</v>
      </c>
      <c r="F25" s="7" t="s">
        <v>16</v>
      </c>
      <c r="G25" s="7">
        <v>402.51</v>
      </c>
      <c r="H25" s="15">
        <f t="shared" ref="H25:H26" si="9">(G25-E25)/E25</f>
        <v>-3.5673215141351189E-2</v>
      </c>
      <c r="I25" s="7">
        <v>392.43</v>
      </c>
      <c r="J25" s="15">
        <f t="shared" ref="J25:J26" si="10">(I25-G25)/G25</f>
        <v>-2.5042856078109823E-2</v>
      </c>
      <c r="K25" s="8">
        <v>396.73</v>
      </c>
      <c r="L25" s="15">
        <f t="shared" ref="L25:L26" si="11">(K25-I25)/I25</f>
        <v>1.0957368193053567E-2</v>
      </c>
      <c r="M25" s="1">
        <v>391.2</v>
      </c>
      <c r="N25" s="15">
        <f t="shared" ref="N25:N26" si="12">(M25-K25)/K25</f>
        <v>-1.3938950923802157E-2</v>
      </c>
      <c r="O25" s="1">
        <v>367.96</v>
      </c>
      <c r="P25" s="15">
        <f t="shared" ref="P25:P26" si="13">(O25-M25)/M25</f>
        <v>-5.9406952965235196E-2</v>
      </c>
      <c r="Q25" s="1">
        <v>361.83</v>
      </c>
      <c r="R25" s="15">
        <f t="shared" ref="R25:R26" si="14">(Q25-O25)/O25</f>
        <v>-1.6659419502119785E-2</v>
      </c>
      <c r="U25" s="18">
        <f>(Q25-E25)/E25</f>
        <v>-0.13313368471490175</v>
      </c>
    </row>
    <row r="26" spans="3:21" x14ac:dyDescent="0.3">
      <c r="C26" s="6" t="s">
        <v>9</v>
      </c>
      <c r="D26" s="6" t="s">
        <v>15</v>
      </c>
      <c r="E26">
        <v>195.56</v>
      </c>
      <c r="F26" s="7" t="s">
        <v>15</v>
      </c>
      <c r="G26" s="7">
        <v>177.19</v>
      </c>
      <c r="H26" s="15">
        <f t="shared" si="9"/>
        <v>-9.3935365105338536E-2</v>
      </c>
      <c r="I26" s="7">
        <v>180.05</v>
      </c>
      <c r="J26" s="15">
        <f t="shared" si="10"/>
        <v>1.6140865737344173E-2</v>
      </c>
      <c r="K26" s="8">
        <v>177.82</v>
      </c>
      <c r="L26" s="15">
        <f t="shared" si="11"/>
        <v>-1.2385448486531619E-2</v>
      </c>
      <c r="M26" s="16">
        <v>180.25</v>
      </c>
      <c r="N26" s="15">
        <f t="shared" si="12"/>
        <v>1.3665504442694898E-2</v>
      </c>
      <c r="O26" s="1">
        <v>172.2</v>
      </c>
      <c r="P26" s="15">
        <f t="shared" si="13"/>
        <v>-4.4660194174757348E-2</v>
      </c>
      <c r="Q26" s="1">
        <v>164.14</v>
      </c>
      <c r="R26" s="15">
        <f t="shared" si="14"/>
        <v>-4.6806039488966333E-2</v>
      </c>
      <c r="U26" s="20">
        <f>(Q26-E26)/E26</f>
        <v>-0.16066680302720401</v>
      </c>
    </row>
    <row r="27" spans="3:21" x14ac:dyDescent="0.3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U27" s="6"/>
    </row>
    <row r="28" spans="3:21" x14ac:dyDescent="0.3">
      <c r="C28" s="9" t="s">
        <v>13</v>
      </c>
      <c r="D28" s="9"/>
      <c r="E28" s="9"/>
      <c r="F28" s="9"/>
      <c r="G28" s="9"/>
      <c r="H28" s="9"/>
      <c r="I28" s="9"/>
      <c r="J28" s="9"/>
      <c r="K28" s="9"/>
      <c r="L28" s="9"/>
      <c r="M28" s="9"/>
      <c r="U28" s="6"/>
    </row>
    <row r="29" spans="3:21" x14ac:dyDescent="0.3">
      <c r="C29" t="s">
        <v>6</v>
      </c>
      <c r="D29">
        <v>14.03</v>
      </c>
      <c r="G29">
        <v>16.03</v>
      </c>
      <c r="I29">
        <v>19.03</v>
      </c>
      <c r="K29" s="10">
        <v>46101</v>
      </c>
      <c r="L29" s="3"/>
      <c r="M29" s="10">
        <v>46108</v>
      </c>
      <c r="N29" s="3"/>
    </row>
    <row r="30" spans="3:21" x14ac:dyDescent="0.3">
      <c r="C30" t="s">
        <v>0</v>
      </c>
    </row>
    <row r="31" spans="3:21" x14ac:dyDescent="0.3">
      <c r="C31" t="s">
        <v>1</v>
      </c>
      <c r="D31" t="s">
        <v>21</v>
      </c>
      <c r="E31">
        <v>251.1</v>
      </c>
      <c r="F31" s="2" t="s">
        <v>16</v>
      </c>
      <c r="G31" s="1">
        <v>249</v>
      </c>
      <c r="H31" s="15">
        <f>(G31-E31)/E31</f>
        <v>-8.3632019115889855E-3</v>
      </c>
      <c r="I31" s="2">
        <v>250.4</v>
      </c>
      <c r="J31" s="12">
        <f>100*(I31-G31)/G31</f>
        <v>0.56224899598393807</v>
      </c>
      <c r="K31" s="1">
        <v>255.1</v>
      </c>
      <c r="L31" s="15">
        <f>(K31-I31)/I31</f>
        <v>1.8769968051118167E-2</v>
      </c>
      <c r="M31" s="1">
        <v>248.8</v>
      </c>
      <c r="N31" s="15">
        <f>(M31-K31)/K31</f>
        <v>-2.469619756958049E-2</v>
      </c>
      <c r="U31" s="18">
        <f>(M31-E31)/E31</f>
        <v>-9.1596973317402755E-3</v>
      </c>
    </row>
    <row r="32" spans="3:21" x14ac:dyDescent="0.3">
      <c r="C32" t="s">
        <v>5</v>
      </c>
      <c r="D32" t="s">
        <v>16</v>
      </c>
      <c r="E32">
        <v>392.23</v>
      </c>
      <c r="F32" s="2" t="s">
        <v>16</v>
      </c>
      <c r="G32" s="1">
        <v>388.5</v>
      </c>
      <c r="H32" s="15">
        <f t="shared" ref="H32:H35" si="15">(G32-E32)/E32</f>
        <v>-9.5097264360197286E-3</v>
      </c>
      <c r="I32" s="1">
        <v>382.24</v>
      </c>
      <c r="J32" s="12">
        <f t="shared" ref="H32:J35" si="16">100*(I32-G32)/G32</f>
        <v>-1.6113256113256089</v>
      </c>
      <c r="K32" s="1">
        <v>367.96</v>
      </c>
      <c r="L32" s="15">
        <f t="shared" ref="L32:L35" si="17">(K32-I32)/I32</f>
        <v>-3.7358727501046539E-2</v>
      </c>
      <c r="M32" s="1">
        <v>361.83</v>
      </c>
      <c r="N32" s="15">
        <f t="shared" ref="N32:N35" si="18">(M32-K32)/K32</f>
        <v>-1.6659419502119785E-2</v>
      </c>
      <c r="U32" s="19">
        <f t="shared" ref="U32:U35" si="19">(M32-E32)/E32</f>
        <v>-7.7505545215817331E-2</v>
      </c>
    </row>
    <row r="33" spans="3:21" x14ac:dyDescent="0.3">
      <c r="C33" t="s">
        <v>9</v>
      </c>
      <c r="D33" t="s">
        <v>16</v>
      </c>
      <c r="E33">
        <v>180.22</v>
      </c>
      <c r="F33" s="1" t="s">
        <v>15</v>
      </c>
      <c r="G33" s="1">
        <v>179.1</v>
      </c>
      <c r="H33" s="15">
        <f t="shared" si="15"/>
        <v>-6.2146265675286014E-3</v>
      </c>
      <c r="I33" s="1">
        <v>177.88</v>
      </c>
      <c r="J33" s="12">
        <f t="shared" si="16"/>
        <v>-0.68118369625907249</v>
      </c>
      <c r="K33" s="1">
        <v>172.2</v>
      </c>
      <c r="L33" s="15">
        <f t="shared" si="17"/>
        <v>-3.1931639307398285E-2</v>
      </c>
      <c r="M33" s="1">
        <v>164.14</v>
      </c>
      <c r="N33" s="15">
        <f t="shared" si="18"/>
        <v>-4.6806039488966333E-2</v>
      </c>
      <c r="U33" s="19">
        <f t="shared" si="19"/>
        <v>-8.9224281433803204E-2</v>
      </c>
    </row>
    <row r="34" spans="3:21" x14ac:dyDescent="0.3">
      <c r="C34" t="s">
        <v>4</v>
      </c>
      <c r="D34" t="s">
        <v>16</v>
      </c>
      <c r="E34">
        <v>619.41999999999996</v>
      </c>
      <c r="F34" s="1" t="s">
        <v>15</v>
      </c>
      <c r="G34" s="1">
        <v>592.4</v>
      </c>
      <c r="H34" s="15">
        <f t="shared" si="15"/>
        <v>-4.3621452326369804E-2</v>
      </c>
      <c r="I34" s="1">
        <v>586.15</v>
      </c>
      <c r="J34" s="12">
        <f>100*(I34-G34)/G34</f>
        <v>-1.0550303848750844</v>
      </c>
      <c r="K34" s="1">
        <v>545.9</v>
      </c>
      <c r="L34" s="15">
        <f t="shared" si="17"/>
        <v>-6.8668429582871282E-2</v>
      </c>
      <c r="M34" s="1">
        <v>525.72</v>
      </c>
      <c r="N34" s="15">
        <f t="shared" si="18"/>
        <v>-3.6966477376808853E-2</v>
      </c>
      <c r="U34" s="20">
        <f t="shared" si="19"/>
        <v>-0.15127054341157847</v>
      </c>
    </row>
    <row r="35" spans="3:21" x14ac:dyDescent="0.3">
      <c r="C35" t="s">
        <v>2</v>
      </c>
      <c r="D35" t="s">
        <v>15</v>
      </c>
      <c r="E35">
        <v>397.21</v>
      </c>
      <c r="F35" s="1" t="s">
        <v>15</v>
      </c>
      <c r="G35" s="2">
        <v>399.95</v>
      </c>
      <c r="H35" s="15">
        <f t="shared" si="15"/>
        <v>6.8981143475743542E-3</v>
      </c>
      <c r="I35" s="1">
        <v>388.74</v>
      </c>
      <c r="J35" s="12">
        <f t="shared" si="16"/>
        <v>-2.8028503562945319</v>
      </c>
      <c r="K35" s="1">
        <v>365.4</v>
      </c>
      <c r="L35" s="15">
        <f t="shared" si="17"/>
        <v>-6.0040129649637369E-2</v>
      </c>
      <c r="M35" s="1">
        <v>356.77</v>
      </c>
      <c r="N35" s="15">
        <f t="shared" si="18"/>
        <v>-2.3617952928297745E-2</v>
      </c>
      <c r="U35" s="15">
        <f t="shared" si="19"/>
        <v>-0.10181012562624304</v>
      </c>
    </row>
    <row r="36" spans="3:21" ht="15" thickBot="1" x14ac:dyDescent="0.35"/>
    <row r="37" spans="3:21" x14ac:dyDescent="0.3">
      <c r="C37" s="4" t="s">
        <v>11</v>
      </c>
      <c r="D37" s="4"/>
      <c r="E37" s="4"/>
      <c r="F37" s="4"/>
      <c r="G37" s="5"/>
    </row>
    <row r="38" spans="3:21" x14ac:dyDescent="0.3">
      <c r="C38" t="s">
        <v>6</v>
      </c>
      <c r="D38" s="10">
        <v>46078</v>
      </c>
      <c r="E38" s="10"/>
      <c r="G38" s="10">
        <v>46081</v>
      </c>
      <c r="H38" s="10"/>
      <c r="I38" s="10">
        <v>46084</v>
      </c>
      <c r="J38" s="10"/>
      <c r="K38" s="10">
        <v>46087</v>
      </c>
      <c r="L38" s="10"/>
      <c r="M38" s="10">
        <v>46094</v>
      </c>
      <c r="N38" s="3"/>
      <c r="O38" s="10">
        <v>46101</v>
      </c>
      <c r="P38" s="3"/>
      <c r="Q38" s="10">
        <v>46108</v>
      </c>
      <c r="R38" s="3"/>
      <c r="U38" t="s">
        <v>20</v>
      </c>
    </row>
    <row r="39" spans="3:21" x14ac:dyDescent="0.3">
      <c r="C39" t="s">
        <v>0</v>
      </c>
      <c r="D39" t="s">
        <v>18</v>
      </c>
      <c r="E39" t="s">
        <v>19</v>
      </c>
      <c r="F39" t="s">
        <v>17</v>
      </c>
      <c r="M39" s="6"/>
    </row>
    <row r="40" spans="3:21" x14ac:dyDescent="0.3">
      <c r="C40" t="s">
        <v>1</v>
      </c>
      <c r="D40" t="s">
        <v>15</v>
      </c>
      <c r="E40" s="12">
        <v>274.23</v>
      </c>
      <c r="F40" s="1" t="s">
        <v>15</v>
      </c>
      <c r="G40" s="11">
        <v>264.18</v>
      </c>
      <c r="H40" s="15">
        <f>(G40-E40)/E40</f>
        <v>-3.6648069139043907E-2</v>
      </c>
      <c r="I40" s="1">
        <v>263.75</v>
      </c>
      <c r="J40" s="15">
        <f>(I40-G40)/G40</f>
        <v>-1.6276780982663593E-3</v>
      </c>
      <c r="K40" s="1">
        <v>257.45999999999998</v>
      </c>
      <c r="L40" s="15">
        <f>(K40-I40)/I40</f>
        <v>-2.3848341232227566E-2</v>
      </c>
      <c r="M40" s="2">
        <v>262.45</v>
      </c>
      <c r="N40" s="15">
        <f>(M40-K40)/K40</f>
        <v>1.9381651518682552E-2</v>
      </c>
      <c r="O40" s="1">
        <v>255.1</v>
      </c>
      <c r="P40" s="15">
        <f>(O40-M40)/M40</f>
        <v>-2.8005334349399866E-2</v>
      </c>
      <c r="Q40" s="1">
        <v>248.8</v>
      </c>
      <c r="R40" s="15">
        <f>(Q40-O40)/O40</f>
        <v>-2.469619756958049E-2</v>
      </c>
      <c r="U40" s="15">
        <f>(Q40-E40)/E40</f>
        <v>-9.2732377930933904E-2</v>
      </c>
    </row>
    <row r="41" spans="3:21" x14ac:dyDescent="0.3">
      <c r="C41" t="s">
        <v>5</v>
      </c>
      <c r="D41" s="6" t="s">
        <v>16</v>
      </c>
      <c r="E41">
        <v>417.4</v>
      </c>
      <c r="F41" s="8" t="s">
        <v>16</v>
      </c>
      <c r="G41" s="7">
        <v>402.51</v>
      </c>
      <c r="H41" s="15">
        <f t="shared" ref="H41:H42" si="20">(G41-E41)/E41</f>
        <v>-3.5673215141351189E-2</v>
      </c>
      <c r="I41" s="7">
        <v>392.43</v>
      </c>
      <c r="J41" s="15">
        <f t="shared" ref="J41:J42" si="21">(I41-G41)/G41</f>
        <v>-2.5042856078109823E-2</v>
      </c>
      <c r="K41" s="8">
        <v>396.73</v>
      </c>
      <c r="L41" s="15">
        <f t="shared" ref="L41:L42" si="22">(K41-I41)/I41</f>
        <v>1.0957368193053567E-2</v>
      </c>
      <c r="M41" s="1">
        <v>391.2</v>
      </c>
      <c r="N41" s="15">
        <f t="shared" ref="N41:N42" si="23">(M41-K41)/K41</f>
        <v>-1.3938950923802157E-2</v>
      </c>
      <c r="O41" s="1">
        <v>367.96</v>
      </c>
      <c r="P41" s="15">
        <f t="shared" ref="P41:P42" si="24">(O41-M41)/M41</f>
        <v>-5.9406952965235196E-2</v>
      </c>
      <c r="Q41" s="1">
        <v>361.83</v>
      </c>
      <c r="R41" s="15">
        <f t="shared" ref="R41:R42" si="25">(Q41-O41)/O41</f>
        <v>-1.6659419502119785E-2</v>
      </c>
      <c r="U41" s="15">
        <f>(Q41-E41)/E41</f>
        <v>-0.13313368471490175</v>
      </c>
    </row>
    <row r="42" spans="3:21" x14ac:dyDescent="0.3">
      <c r="C42" t="s">
        <v>9</v>
      </c>
      <c r="D42" s="6" t="s">
        <v>15</v>
      </c>
      <c r="E42">
        <v>195.56</v>
      </c>
      <c r="F42" s="7" t="s">
        <v>15</v>
      </c>
      <c r="G42" s="7">
        <v>177.19</v>
      </c>
      <c r="H42" s="15">
        <f t="shared" si="20"/>
        <v>-9.3935365105338536E-2</v>
      </c>
      <c r="I42" s="7">
        <v>180.05</v>
      </c>
      <c r="J42" s="15">
        <f t="shared" si="21"/>
        <v>1.6140865737344173E-2</v>
      </c>
      <c r="K42" s="7">
        <v>177.82</v>
      </c>
      <c r="L42" s="15">
        <f t="shared" si="22"/>
        <v>-1.2385448486531619E-2</v>
      </c>
      <c r="M42" s="16">
        <v>180.25</v>
      </c>
      <c r="N42" s="15">
        <f t="shared" si="23"/>
        <v>1.3665504442694898E-2</v>
      </c>
      <c r="O42" s="1">
        <v>172.2</v>
      </c>
      <c r="P42" s="15">
        <f t="shared" si="24"/>
        <v>-4.4660194174757348E-2</v>
      </c>
      <c r="Q42" s="1">
        <v>164.14</v>
      </c>
      <c r="R42" s="15">
        <f t="shared" si="25"/>
        <v>-4.6806039488966333E-2</v>
      </c>
      <c r="U42" s="15">
        <f>(Q42-E42)/E42</f>
        <v>-0.16066680302720401</v>
      </c>
    </row>
  </sheetData>
  <mergeCells count="33">
    <mergeCell ref="K38:L38"/>
    <mergeCell ref="I38:J38"/>
    <mergeCell ref="M4:N4"/>
    <mergeCell ref="O4:P4"/>
    <mergeCell ref="Q4:R4"/>
    <mergeCell ref="M22:N22"/>
    <mergeCell ref="O22:P22"/>
    <mergeCell ref="Q22:R22"/>
    <mergeCell ref="K29:L29"/>
    <mergeCell ref="M29:N29"/>
    <mergeCell ref="M38:N38"/>
    <mergeCell ref="O38:P38"/>
    <mergeCell ref="Q38:R38"/>
    <mergeCell ref="D38:E38"/>
    <mergeCell ref="G38:H38"/>
    <mergeCell ref="D22:E22"/>
    <mergeCell ref="G22:H22"/>
    <mergeCell ref="G2:H2"/>
    <mergeCell ref="D4:E4"/>
    <mergeCell ref="G4:H4"/>
    <mergeCell ref="C28:M28"/>
    <mergeCell ref="C3:G3"/>
    <mergeCell ref="C13:G13"/>
    <mergeCell ref="C21:G21"/>
    <mergeCell ref="C37:G37"/>
    <mergeCell ref="D14:E14"/>
    <mergeCell ref="G14:H14"/>
    <mergeCell ref="I4:J4"/>
    <mergeCell ref="K4:L4"/>
    <mergeCell ref="K14:L14"/>
    <mergeCell ref="I14:J14"/>
    <mergeCell ref="I22:J22"/>
    <mergeCell ref="K22:L2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Hvozda</dc:creator>
  <cp:lastModifiedBy>Martin Hvozda</cp:lastModifiedBy>
  <dcterms:created xsi:type="dcterms:W3CDTF">2026-03-16T11:37:21Z</dcterms:created>
  <dcterms:modified xsi:type="dcterms:W3CDTF">2026-03-31T22:32:01Z</dcterms:modified>
</cp:coreProperties>
</file>